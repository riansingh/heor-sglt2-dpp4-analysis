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 defaultThemeVersion="166925"/>
  <xr:revisionPtr revIDLastSave="79" documentId="11_E60897F41BE170836B02CE998F75CCDC64E183C8" xr6:coauthVersionLast="47" xr6:coauthVersionMax="47" xr10:uidLastSave="{E0A15DEA-0C60-4803-BD95-E079068985D4}"/>
  <bookViews>
    <workbookView xWindow="240" yWindow="105" windowWidth="14805" windowHeight="8010" firstSheet="1" activeTab="1" xr2:uid="{00000000-000D-0000-FFFF-FFFF00000000}"/>
  </bookViews>
  <sheets>
    <sheet name="CEA Inputs" sheetId="1" r:id="rId1"/>
    <sheet name="Cost Effectiveness Plan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4" i="1" l="1"/>
  <c r="B11" i="1"/>
  <c r="B6" i="1"/>
</calcChain>
</file>

<file path=xl/sharedStrings.xml><?xml version="1.0" encoding="utf-8"?>
<sst xmlns="http://schemas.openxmlformats.org/spreadsheetml/2006/main" count="13" uniqueCount="13">
  <si>
    <t>COST EFFECTIVENESS ANALYSIS</t>
  </si>
  <si>
    <t>COSTS</t>
  </si>
  <si>
    <t>Annual Cost per Patient - SGLT2</t>
  </si>
  <si>
    <t>Annual Cost per Patient - DPP-4</t>
  </si>
  <si>
    <t>Incremental Cost (SGLT2 vs DPP-4)</t>
  </si>
  <si>
    <t>EFFECTIVENESS</t>
  </si>
  <si>
    <t>Hospitalization Rate - SGLT2</t>
  </si>
  <si>
    <t>Hospitalization Rate - DPP-4</t>
  </si>
  <si>
    <t>Hospitalizations Avoided per Patient</t>
  </si>
  <si>
    <t>ICER</t>
  </si>
  <si>
    <t>Cost per Hospitalization Avoided</t>
  </si>
  <si>
    <t>Incremental Effectiveness</t>
  </si>
  <si>
    <t>Incremental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</si>
</sst>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0.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/>
    <xf numFmtId="164" fontId="0" fillId="0" borderId="0" xfId="0" applyNumberFormat="1"/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 Effectiveness Plane - SGLT2 vs DPP-4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SGLT2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SGLT2</a:t>
                    </a:r>
                  </a:p>
                </c:rich>
              </c:tx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6AAB-444F-8E20-0FEC481F0DC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'Cost Effectiveness Plane'!A2</c:f>
              <c:numCache>
                <c:formatCode>General</c:formatCode>
                <c:ptCount val="1"/>
                <c:pt idx="0">
                  <c:v>-7.3999999999999996E-2</c:v>
                </c:pt>
              </c:numCache>
            </c:numRef>
          </c:xVal>
          <c:yVal>
            <c:numRef>
              <c:f>'Cost Effectiveness Plane'!B2</c:f>
              <c:numCache>
                <c:formatCode>"$"#,##0</c:formatCode>
                <c:ptCount val="1"/>
                <c:pt idx="0">
                  <c:v>1100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AAB-444F-8E20-0FEC481F0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8712711"/>
        <c:axId val="1608715271"/>
      </c:scatterChart>
      <c:valAx>
        <c:axId val="1608712711"/>
        <c:scaling>
          <c:orientation val="minMax"/>
          <c:max val="0"/>
          <c:min val="-0.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Incremental Effectiveness (Hospitalizations Avoided)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715271"/>
        <c:crossesAt val="0"/>
        <c:crossBetween val="midCat"/>
      </c:valAx>
      <c:valAx>
        <c:axId val="1608715271"/>
        <c:scaling>
          <c:orientation val="minMax"/>
          <c:max val="2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Incremental Cost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7127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4</xdr:row>
      <xdr:rowOff>66675</xdr:rowOff>
    </xdr:from>
    <xdr:to>
      <xdr:col>7</xdr:col>
      <xdr:colOff>504825</xdr:colOff>
      <xdr:row>18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602317-AD33-C94F-9250-AF1C0040F9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>
      <selection activeCell="K8" sqref="K8"/>
    </sheetView>
  </sheetViews>
  <sheetFormatPr defaultRowHeight="15"/>
  <cols>
    <col min="1" max="1" width="35.7109375" customWidth="1"/>
    <col min="2" max="2" width="11.5703125" style="3" bestFit="1" customWidth="1"/>
  </cols>
  <sheetData>
    <row r="1" spans="1:2">
      <c r="A1" s="2" t="s">
        <v>0</v>
      </c>
    </row>
    <row r="3" spans="1:2">
      <c r="A3" s="1" t="s">
        <v>1</v>
      </c>
    </row>
    <row r="4" spans="1:2">
      <c r="A4" t="s">
        <v>2</v>
      </c>
      <c r="B4" s="4">
        <v>24129</v>
      </c>
    </row>
    <row r="5" spans="1:2">
      <c r="A5" t="s">
        <v>3</v>
      </c>
      <c r="B5" s="4">
        <v>23029</v>
      </c>
    </row>
    <row r="6" spans="1:2">
      <c r="A6" t="s">
        <v>4</v>
      </c>
      <c r="B6" s="4">
        <f>B4-B5</f>
        <v>1100</v>
      </c>
    </row>
    <row r="7" spans="1:2">
      <c r="B7" s="4"/>
    </row>
    <row r="8" spans="1:2">
      <c r="A8" s="1" t="s">
        <v>5</v>
      </c>
      <c r="B8" s="4"/>
    </row>
    <row r="9" spans="1:2">
      <c r="A9" t="s">
        <v>6</v>
      </c>
      <c r="B9" s="5">
        <v>0.20399999999999999</v>
      </c>
    </row>
    <row r="10" spans="1:2">
      <c r="A10" t="s">
        <v>7</v>
      </c>
      <c r="B10" s="5">
        <v>0.13</v>
      </c>
    </row>
    <row r="11" spans="1:2">
      <c r="A11" t="s">
        <v>8</v>
      </c>
      <c r="B11" s="5">
        <f>B10-B9</f>
        <v>-7.3999999999999982E-2</v>
      </c>
    </row>
    <row r="12" spans="1:2">
      <c r="B12" s="4"/>
    </row>
    <row r="13" spans="1:2">
      <c r="A13" s="1" t="s">
        <v>9</v>
      </c>
      <c r="B13" s="4"/>
    </row>
    <row r="14" spans="1:2">
      <c r="A14" t="s">
        <v>10</v>
      </c>
      <c r="B14" s="4">
        <f>B6/B11</f>
        <v>-14864.864864864869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9563A-9B90-4550-B249-C78D7E8B2657}">
  <dimension ref="A1:B3"/>
  <sheetViews>
    <sheetView tabSelected="1" workbookViewId="0">
      <selection activeCell="B27" sqref="B27"/>
    </sheetView>
  </sheetViews>
  <sheetFormatPr defaultRowHeight="15"/>
  <cols>
    <col min="1" max="2" width="25.7109375" customWidth="1"/>
  </cols>
  <sheetData>
    <row r="1" spans="1:2">
      <c r="A1" s="2" t="s">
        <v>11</v>
      </c>
      <c r="B1" s="2" t="s">
        <v>12</v>
      </c>
    </row>
    <row r="2" spans="1:2">
      <c r="A2" s="6">
        <v>-7.3999999999999996E-2</v>
      </c>
      <c r="B2" s="4">
        <v>1100</v>
      </c>
    </row>
    <row r="3" spans="1:2">
      <c r="A3" s="6">
        <v>0</v>
      </c>
      <c r="B3" s="4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Rian Singh</cp:lastModifiedBy>
  <cp:revision/>
  <dcterms:created xsi:type="dcterms:W3CDTF">2026-07-16T21:41:38Z</dcterms:created>
  <dcterms:modified xsi:type="dcterms:W3CDTF">2026-07-17T23:55:00Z</dcterms:modified>
  <cp:category/>
  <cp:contentStatus/>
</cp:coreProperties>
</file>