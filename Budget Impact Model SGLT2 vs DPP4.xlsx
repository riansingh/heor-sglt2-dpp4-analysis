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173" documentId="11_E60897F41BE170836B02CE998F75CCDC64E183C8" xr6:coauthVersionLast="47" xr6:coauthVersionMax="47" xr10:uidLastSave="{085AC710-6CD4-4D79-880A-D095B645847C}"/>
  <bookViews>
    <workbookView xWindow="240" yWindow="105" windowWidth="14805" windowHeight="8010" firstSheet="3" activeTab="3" xr2:uid="{00000000-000D-0000-FFFF-FFFF00000000}"/>
  </bookViews>
  <sheets>
    <sheet name="Inputs" sheetId="1" r:id="rId1"/>
    <sheet name="Market Share" sheetId="2" r:id="rId2"/>
    <sheet name="Budget Impact" sheetId="3" r:id="rId3"/>
    <sheet name="Sensitivit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4" l="1"/>
  <c r="D7" i="4"/>
  <c r="D6" i="4"/>
  <c r="D5" i="4"/>
  <c r="C5" i="4"/>
  <c r="C6" i="4"/>
  <c r="C7" i="4"/>
  <c r="C8" i="4"/>
  <c r="C4" i="4"/>
  <c r="B8" i="4"/>
  <c r="B7" i="4"/>
  <c r="B6" i="4"/>
  <c r="B5" i="4"/>
  <c r="B4" i="4"/>
  <c r="F16" i="3"/>
  <c r="E16" i="3"/>
  <c r="D16" i="3"/>
  <c r="F15" i="3"/>
  <c r="E15" i="3"/>
  <c r="D15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F2" i="3"/>
  <c r="E2" i="3"/>
  <c r="B3" i="3"/>
  <c r="C3" i="3"/>
  <c r="D3" i="3"/>
  <c r="B4" i="3"/>
  <c r="C4" i="3"/>
  <c r="D4" i="3"/>
  <c r="B5" i="3"/>
  <c r="C5" i="3"/>
  <c r="D5" i="3"/>
  <c r="B6" i="3"/>
  <c r="C6" i="3"/>
  <c r="D6" i="3"/>
  <c r="B7" i="3"/>
  <c r="C7" i="3"/>
  <c r="D7" i="3"/>
  <c r="B8" i="3"/>
  <c r="C8" i="3"/>
  <c r="D8" i="3"/>
  <c r="B9" i="3"/>
  <c r="C9" i="3"/>
  <c r="D9" i="3"/>
  <c r="B10" i="3"/>
  <c r="C10" i="3"/>
  <c r="D10" i="3"/>
  <c r="B11" i="3"/>
  <c r="C11" i="3"/>
  <c r="D11" i="3"/>
  <c r="B12" i="3"/>
  <c r="C12" i="3"/>
  <c r="D12" i="3"/>
  <c r="B13" i="3"/>
  <c r="C13" i="3"/>
  <c r="D13" i="3"/>
  <c r="D2" i="3"/>
  <c r="C2" i="3"/>
  <c r="B2" i="3"/>
</calcChain>
</file>

<file path=xl/sharedStrings.xml><?xml version="1.0" encoding="utf-8"?>
<sst xmlns="http://schemas.openxmlformats.org/spreadsheetml/2006/main" count="31" uniqueCount="29">
  <si>
    <t>INPUTS</t>
  </si>
  <si>
    <t>Total Diabetes Patients in Plan</t>
  </si>
  <si>
    <t>Current SGLT2 Market Share</t>
  </si>
  <si>
    <t>Current DPP-4 Market Share</t>
  </si>
  <si>
    <t>Average Annual Cost - SGLT2 Patient</t>
  </si>
  <si>
    <t>Average Annual Cost - DPP-4 Patient</t>
  </si>
  <si>
    <t>Average Hospitalization Cost</t>
  </si>
  <si>
    <t>Hospitalization Rate - SGLT2</t>
  </si>
  <si>
    <t>Hospitalization Rate - DPP-4</t>
  </si>
  <si>
    <t>Month</t>
  </si>
  <si>
    <t>Base SGLT2 Share</t>
  </si>
  <si>
    <t>Conservative SGLT2 Share</t>
  </si>
  <si>
    <t>Optimistic SGLT2 Share</t>
  </si>
  <si>
    <t>SGLT2 Patients (Base)</t>
  </si>
  <si>
    <t>DPP-4 Patients (Base)</t>
  </si>
  <si>
    <t>Total Cost (Base)</t>
  </si>
  <si>
    <t>Total Cost (Conservative)</t>
  </si>
  <si>
    <t>Total Cost (Optimistic)</t>
  </si>
  <si>
    <t>Total Annual Cost</t>
  </si>
  <si>
    <t>PMPM Cost</t>
  </si>
  <si>
    <t>Sensitivity Analysis - SGLT2 Annual Cost Assumption</t>
  </si>
  <si>
    <t>Scenario</t>
  </si>
  <si>
    <t>SGLT2 Annual Cost</t>
  </si>
  <si>
    <t>vs Base Scenario</t>
  </si>
  <si>
    <t>Base</t>
  </si>
  <si>
    <t>10% Lower Cost</t>
  </si>
  <si>
    <t>5% Lower Cost</t>
  </si>
  <si>
    <t>5% Higher Cost</t>
  </si>
  <si>
    <t>10% Higher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</si>
</sst>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2" borderId="0" xfId="0" applyFont="1" applyFill="1"/>
    <xf numFmtId="3" fontId="2" fillId="2" borderId="0" xfId="0" applyNumberFormat="1" applyFont="1" applyFill="1"/>
    <xf numFmtId="164" fontId="0" fillId="0" borderId="0" xfId="0" applyNumberFormat="1"/>
    <xf numFmtId="164" fontId="1" fillId="0" borderId="0" xfId="0" applyNumberFormat="1" applyFont="1"/>
    <xf numFmtId="164" fontId="2" fillId="2" borderId="0" xfId="0" applyNumberFormat="1" applyFont="1" applyFill="1"/>
    <xf numFmtId="0" fontId="1" fillId="3" borderId="0" xfId="0" applyFont="1" applyFill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I4" sqref="I4"/>
    </sheetView>
  </sheetViews>
  <sheetFormatPr defaultRowHeight="15"/>
  <cols>
    <col min="1" max="1" width="45.7109375" customWidth="1"/>
    <col min="2" max="2" width="15.7109375" customWidth="1"/>
  </cols>
  <sheetData>
    <row r="1" spans="1:2">
      <c r="A1" s="3" t="s">
        <v>0</v>
      </c>
      <c r="B1" s="9"/>
    </row>
    <row r="3" spans="1:2">
      <c r="A3" t="s">
        <v>1</v>
      </c>
      <c r="B3" s="11">
        <v>100000</v>
      </c>
    </row>
    <row r="4" spans="1:2">
      <c r="A4" t="s">
        <v>2</v>
      </c>
      <c r="B4" s="11">
        <v>0.7</v>
      </c>
    </row>
    <row r="5" spans="1:2">
      <c r="A5" t="s">
        <v>3</v>
      </c>
      <c r="B5" s="11">
        <v>0.3</v>
      </c>
    </row>
    <row r="6" spans="1:2">
      <c r="B6" s="12"/>
    </row>
    <row r="7" spans="1:2">
      <c r="A7" t="s">
        <v>4</v>
      </c>
      <c r="B7" s="10">
        <v>24129</v>
      </c>
    </row>
    <row r="8" spans="1:2">
      <c r="A8" t="s">
        <v>5</v>
      </c>
      <c r="B8" s="11">
        <v>23029</v>
      </c>
    </row>
    <row r="9" spans="1:2">
      <c r="A9" t="s">
        <v>6</v>
      </c>
      <c r="B9" s="11">
        <v>15040</v>
      </c>
    </row>
    <row r="10" spans="1:2">
      <c r="A10" t="s">
        <v>7</v>
      </c>
      <c r="B10" s="11">
        <v>0.20399999999999999</v>
      </c>
    </row>
    <row r="11" spans="1:2">
      <c r="A11" t="s">
        <v>8</v>
      </c>
      <c r="B11" s="11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3553-61F4-4A54-B6C2-1DB9CEDB52D9}">
  <dimension ref="A1:E13"/>
  <sheetViews>
    <sheetView workbookViewId="0">
      <selection activeCell="E21" sqref="E21"/>
    </sheetView>
  </sheetViews>
  <sheetFormatPr defaultRowHeight="15"/>
  <cols>
    <col min="1" max="4" width="25.7109375" customWidth="1"/>
  </cols>
  <sheetData>
    <row r="1" spans="1:5">
      <c r="A1" s="3" t="s">
        <v>9</v>
      </c>
      <c r="B1" s="3" t="s">
        <v>10</v>
      </c>
      <c r="C1" s="3" t="s">
        <v>11</v>
      </c>
      <c r="D1" s="3" t="s">
        <v>12</v>
      </c>
      <c r="E1" s="1"/>
    </row>
    <row r="2" spans="1:5">
      <c r="A2" s="12">
        <v>1</v>
      </c>
      <c r="B2" s="12">
        <v>0.7</v>
      </c>
      <c r="C2" s="12">
        <v>0.7</v>
      </c>
      <c r="D2" s="12">
        <v>0.7</v>
      </c>
    </row>
    <row r="3" spans="1:5">
      <c r="A3" s="12">
        <v>2</v>
      </c>
      <c r="B3" s="12">
        <v>0.71</v>
      </c>
      <c r="C3" s="12">
        <v>0.70499999999999996</v>
      </c>
      <c r="D3" s="12">
        <v>0.72</v>
      </c>
    </row>
    <row r="4" spans="1:5">
      <c r="A4" s="12">
        <v>3</v>
      </c>
      <c r="B4" s="12">
        <v>0.72</v>
      </c>
      <c r="C4" s="12">
        <v>0.71</v>
      </c>
      <c r="D4" s="12">
        <v>0.74</v>
      </c>
    </row>
    <row r="5" spans="1:5">
      <c r="A5" s="12">
        <v>4</v>
      </c>
      <c r="B5" s="12">
        <v>0.73</v>
      </c>
      <c r="C5" s="12">
        <v>0.71499999999999997</v>
      </c>
      <c r="D5" s="12">
        <v>0.76</v>
      </c>
    </row>
    <row r="6" spans="1:5">
      <c r="A6" s="12">
        <v>5</v>
      </c>
      <c r="B6" s="12">
        <v>0.74</v>
      </c>
      <c r="C6" s="12">
        <v>0.72</v>
      </c>
      <c r="D6" s="12">
        <v>0.78</v>
      </c>
    </row>
    <row r="7" spans="1:5">
      <c r="A7" s="12">
        <v>6</v>
      </c>
      <c r="B7" s="12">
        <v>0.75</v>
      </c>
      <c r="C7" s="12">
        <v>0.72499999999999998</v>
      </c>
      <c r="D7" s="12">
        <v>0.8</v>
      </c>
    </row>
    <row r="8" spans="1:5">
      <c r="A8" s="12">
        <v>7</v>
      </c>
      <c r="B8" s="12">
        <v>0.76</v>
      </c>
      <c r="C8" s="12">
        <v>0.73</v>
      </c>
      <c r="D8" s="12">
        <v>0.82</v>
      </c>
    </row>
    <row r="9" spans="1:5">
      <c r="A9" s="12">
        <v>8</v>
      </c>
      <c r="B9" s="12">
        <v>0.77</v>
      </c>
      <c r="C9" s="12">
        <v>0.73499999999999999</v>
      </c>
      <c r="D9" s="12">
        <v>0.84</v>
      </c>
    </row>
    <row r="10" spans="1:5">
      <c r="A10" s="12">
        <v>9</v>
      </c>
      <c r="B10" s="12">
        <v>0.78</v>
      </c>
      <c r="C10" s="12">
        <v>0.74</v>
      </c>
      <c r="D10" s="12">
        <v>0.86</v>
      </c>
    </row>
    <row r="11" spans="1:5">
      <c r="A11" s="12">
        <v>10</v>
      </c>
      <c r="B11" s="12">
        <v>0.79</v>
      </c>
      <c r="C11" s="12">
        <v>0.745</v>
      </c>
      <c r="D11" s="12">
        <v>0.88</v>
      </c>
    </row>
    <row r="12" spans="1:5">
      <c r="A12" s="12">
        <v>11</v>
      </c>
      <c r="B12" s="12">
        <v>0.8</v>
      </c>
      <c r="C12" s="12">
        <v>0.75</v>
      </c>
      <c r="D12" s="12">
        <v>0.9</v>
      </c>
    </row>
    <row r="13" spans="1:5">
      <c r="A13" s="12">
        <v>12</v>
      </c>
      <c r="B13" s="12">
        <v>0.81</v>
      </c>
      <c r="C13" s="12">
        <v>0.755</v>
      </c>
      <c r="D13" s="12">
        <v>0.92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F267-63AF-4286-85E1-F3552E5593FF}">
  <dimension ref="A1:F16"/>
  <sheetViews>
    <sheetView workbookViewId="0">
      <selection activeCell="E24" sqref="E24"/>
    </sheetView>
  </sheetViews>
  <sheetFormatPr defaultRowHeight="15"/>
  <cols>
    <col min="1" max="3" width="30.7109375" customWidth="1"/>
    <col min="4" max="5" width="30.7109375" style="2" customWidth="1"/>
    <col min="6" max="6" width="25.7109375" style="2" customWidth="1"/>
  </cols>
  <sheetData>
    <row r="1" spans="1:6" ht="30" customHeight="1">
      <c r="A1" s="3" t="s">
        <v>9</v>
      </c>
      <c r="B1" s="3" t="s">
        <v>13</v>
      </c>
      <c r="C1" s="3" t="s">
        <v>14</v>
      </c>
      <c r="D1" s="4" t="s">
        <v>15</v>
      </c>
      <c r="E1" s="4" t="s">
        <v>16</v>
      </c>
      <c r="F1" s="4" t="s">
        <v>17</v>
      </c>
    </row>
    <row r="2" spans="1:6">
      <c r="A2" s="12">
        <v>1</v>
      </c>
      <c r="B2" s="12">
        <f>Inputs!$B$3*'Market Share'!B2</f>
        <v>70000</v>
      </c>
      <c r="C2" s="12">
        <f>Inputs!$B$3*(1-'Market Share'!B2)</f>
        <v>30000.000000000004</v>
      </c>
      <c r="D2" s="13">
        <f>(B2*Inputs!$B$7)+(C2*Inputs!$B$8)</f>
        <v>2379900000</v>
      </c>
      <c r="E2" s="13">
        <f>(Inputs!$B$3*'Market Share'!C2*Inputs!$B$7)+(Inputs!$B$3*(1-'Market Share'!C2)*Inputs!$B$8)</f>
        <v>2379900000</v>
      </c>
      <c r="F2" s="13">
        <f>(Inputs!$B$3*'Market Share'!D2*Inputs!$B$7)+(Inputs!$B$3*(1-'Market Share'!D2)*Inputs!$B$8)</f>
        <v>2379900000</v>
      </c>
    </row>
    <row r="3" spans="1:6">
      <c r="A3" s="12">
        <v>2</v>
      </c>
      <c r="B3" s="12">
        <f>Inputs!$B$3*'Market Share'!B3</f>
        <v>71000</v>
      </c>
      <c r="C3" s="12">
        <f>Inputs!$B$3*(1-'Market Share'!B3)</f>
        <v>29000.000000000004</v>
      </c>
      <c r="D3" s="13">
        <f>(B3*Inputs!$B$7)+(C3*Inputs!$B$8)</f>
        <v>2381000000</v>
      </c>
      <c r="E3" s="13">
        <f>(Inputs!$B$3*'Market Share'!C3*Inputs!$B$7)+(Inputs!$B$3*(1-'Market Share'!C3)*Inputs!$B$8)</f>
        <v>2380450000</v>
      </c>
      <c r="F3" s="13">
        <f>(Inputs!$B$3*'Market Share'!D3*Inputs!$B$7)+(Inputs!$B$3*(1-'Market Share'!D3)*Inputs!$B$8)</f>
        <v>2382100000</v>
      </c>
    </row>
    <row r="4" spans="1:6">
      <c r="A4" s="12">
        <v>3</v>
      </c>
      <c r="B4" s="12">
        <f>Inputs!$B$3*'Market Share'!B4</f>
        <v>72000</v>
      </c>
      <c r="C4" s="12">
        <f>Inputs!$B$3*(1-'Market Share'!B4)</f>
        <v>28000.000000000004</v>
      </c>
      <c r="D4" s="13">
        <f>(B4*Inputs!$B$7)+(C4*Inputs!$B$8)</f>
        <v>2382100000</v>
      </c>
      <c r="E4" s="13">
        <f>(Inputs!$B$3*'Market Share'!C4*Inputs!$B$7)+(Inputs!$B$3*(1-'Market Share'!C4)*Inputs!$B$8)</f>
        <v>2381000000</v>
      </c>
      <c r="F4" s="13">
        <f>(Inputs!$B$3*'Market Share'!D4*Inputs!$B$7)+(Inputs!$B$3*(1-'Market Share'!D4)*Inputs!$B$8)</f>
        <v>2384300000</v>
      </c>
    </row>
    <row r="5" spans="1:6">
      <c r="A5" s="12">
        <v>4</v>
      </c>
      <c r="B5" s="12">
        <f>Inputs!$B$3*'Market Share'!B5</f>
        <v>73000</v>
      </c>
      <c r="C5" s="12">
        <f>Inputs!$B$3*(1-'Market Share'!B5)</f>
        <v>27000</v>
      </c>
      <c r="D5" s="13">
        <f>(B5*Inputs!$B$7)+(C5*Inputs!$B$8)</f>
        <v>2383200000</v>
      </c>
      <c r="E5" s="13">
        <f>(Inputs!$B$3*'Market Share'!C5*Inputs!$B$7)+(Inputs!$B$3*(1-'Market Share'!C5)*Inputs!$B$8)</f>
        <v>2381550000</v>
      </c>
      <c r="F5" s="13">
        <f>(Inputs!$B$3*'Market Share'!D5*Inputs!$B$7)+(Inputs!$B$3*(1-'Market Share'!D5)*Inputs!$B$8)</f>
        <v>2386500000</v>
      </c>
    </row>
    <row r="6" spans="1:6">
      <c r="A6" s="12">
        <v>5</v>
      </c>
      <c r="B6" s="12">
        <f>Inputs!$B$3*'Market Share'!B6</f>
        <v>74000</v>
      </c>
      <c r="C6" s="12">
        <f>Inputs!$B$3*(1-'Market Share'!B6)</f>
        <v>26000</v>
      </c>
      <c r="D6" s="13">
        <f>(B6*Inputs!$B$7)+(C6*Inputs!$B$8)</f>
        <v>2384300000</v>
      </c>
      <c r="E6" s="13">
        <f>(Inputs!$B$3*'Market Share'!C6*Inputs!$B$7)+(Inputs!$B$3*(1-'Market Share'!C6)*Inputs!$B$8)</f>
        <v>2382100000</v>
      </c>
      <c r="F6" s="13">
        <f>(Inputs!$B$3*'Market Share'!D6*Inputs!$B$7)+(Inputs!$B$3*(1-'Market Share'!D6)*Inputs!$B$8)</f>
        <v>2388700000</v>
      </c>
    </row>
    <row r="7" spans="1:6">
      <c r="A7" s="12">
        <v>6</v>
      </c>
      <c r="B7" s="12">
        <f>Inputs!$B$3*'Market Share'!B7</f>
        <v>75000</v>
      </c>
      <c r="C7" s="12">
        <f>Inputs!$B$3*(1-'Market Share'!B7)</f>
        <v>25000</v>
      </c>
      <c r="D7" s="13">
        <f>(B7*Inputs!$B$7)+(C7*Inputs!$B$8)</f>
        <v>2385400000</v>
      </c>
      <c r="E7" s="13">
        <f>(Inputs!$B$3*'Market Share'!C7*Inputs!$B$7)+(Inputs!$B$3*(1-'Market Share'!C7)*Inputs!$B$8)</f>
        <v>2382650000</v>
      </c>
      <c r="F7" s="13">
        <f>(Inputs!$B$3*'Market Share'!D7*Inputs!$B$7)+(Inputs!$B$3*(1-'Market Share'!D7)*Inputs!$B$8)</f>
        <v>2390900000</v>
      </c>
    </row>
    <row r="8" spans="1:6">
      <c r="A8" s="12">
        <v>7</v>
      </c>
      <c r="B8" s="12">
        <f>Inputs!$B$3*'Market Share'!B8</f>
        <v>76000</v>
      </c>
      <c r="C8" s="12">
        <f>Inputs!$B$3*(1-'Market Share'!B8)</f>
        <v>24000</v>
      </c>
      <c r="D8" s="13">
        <f>(B8*Inputs!$B$7)+(C8*Inputs!$B$8)</f>
        <v>2386500000</v>
      </c>
      <c r="E8" s="13">
        <f>(Inputs!$B$3*'Market Share'!C8*Inputs!$B$7)+(Inputs!$B$3*(1-'Market Share'!C8)*Inputs!$B$8)</f>
        <v>2383200000</v>
      </c>
      <c r="F8" s="13">
        <f>(Inputs!$B$3*'Market Share'!D8*Inputs!$B$7)+(Inputs!$B$3*(1-'Market Share'!D8)*Inputs!$B$8)</f>
        <v>2393100000</v>
      </c>
    </row>
    <row r="9" spans="1:6">
      <c r="A9" s="12">
        <v>8</v>
      </c>
      <c r="B9" s="12">
        <f>Inputs!$B$3*'Market Share'!B9</f>
        <v>77000</v>
      </c>
      <c r="C9" s="12">
        <f>Inputs!$B$3*(1-'Market Share'!B9)</f>
        <v>23000</v>
      </c>
      <c r="D9" s="13">
        <f>(B9*Inputs!$B$7)+(C9*Inputs!$B$8)</f>
        <v>2387600000</v>
      </c>
      <c r="E9" s="13">
        <f>(Inputs!$B$3*'Market Share'!C9*Inputs!$B$7)+(Inputs!$B$3*(1-'Market Share'!C9)*Inputs!$B$8)</f>
        <v>2383750000</v>
      </c>
      <c r="F9" s="13">
        <f>(Inputs!$B$3*'Market Share'!D9*Inputs!$B$7)+(Inputs!$B$3*(1-'Market Share'!D9)*Inputs!$B$8)</f>
        <v>2395300000</v>
      </c>
    </row>
    <row r="10" spans="1:6">
      <c r="A10" s="12">
        <v>9</v>
      </c>
      <c r="B10" s="12">
        <f>Inputs!$B$3*'Market Share'!B10</f>
        <v>78000</v>
      </c>
      <c r="C10" s="12">
        <f>Inputs!$B$3*(1-'Market Share'!B10)</f>
        <v>21999.999999999996</v>
      </c>
      <c r="D10" s="13">
        <f>(B10*Inputs!$B$7)+(C10*Inputs!$B$8)</f>
        <v>2388700000</v>
      </c>
      <c r="E10" s="13">
        <f>(Inputs!$B$3*'Market Share'!C10*Inputs!$B$7)+(Inputs!$B$3*(1-'Market Share'!C10)*Inputs!$B$8)</f>
        <v>2384300000</v>
      </c>
      <c r="F10" s="13">
        <f>(Inputs!$B$3*'Market Share'!D10*Inputs!$B$7)+(Inputs!$B$3*(1-'Market Share'!D10)*Inputs!$B$8)</f>
        <v>2397500000</v>
      </c>
    </row>
    <row r="11" spans="1:6">
      <c r="A11" s="12">
        <v>10</v>
      </c>
      <c r="B11" s="12">
        <f>Inputs!$B$3*'Market Share'!B11</f>
        <v>79000</v>
      </c>
      <c r="C11" s="12">
        <f>Inputs!$B$3*(1-'Market Share'!B11)</f>
        <v>20999.999999999996</v>
      </c>
      <c r="D11" s="13">
        <f>(B11*Inputs!$B$7)+(C11*Inputs!$B$8)</f>
        <v>2389800000</v>
      </c>
      <c r="E11" s="13">
        <f>(Inputs!$B$3*'Market Share'!C11*Inputs!$B$7)+(Inputs!$B$3*(1-'Market Share'!C11)*Inputs!$B$8)</f>
        <v>2384850000</v>
      </c>
      <c r="F11" s="13">
        <f>(Inputs!$B$3*'Market Share'!D11*Inputs!$B$7)+(Inputs!$B$3*(1-'Market Share'!D11)*Inputs!$B$8)</f>
        <v>2399700000</v>
      </c>
    </row>
    <row r="12" spans="1:6">
      <c r="A12" s="12">
        <v>11</v>
      </c>
      <c r="B12" s="12">
        <f>Inputs!$B$3*'Market Share'!B12</f>
        <v>80000</v>
      </c>
      <c r="C12" s="12">
        <f>Inputs!$B$3*(1-'Market Share'!B12)</f>
        <v>19999.999999999996</v>
      </c>
      <c r="D12" s="13">
        <f>(B12*Inputs!$B$7)+(C12*Inputs!$B$8)</f>
        <v>2390900000</v>
      </c>
      <c r="E12" s="13">
        <f>(Inputs!$B$3*'Market Share'!C12*Inputs!$B$7)+(Inputs!$B$3*(1-'Market Share'!C12)*Inputs!$B$8)</f>
        <v>2385400000</v>
      </c>
      <c r="F12" s="13">
        <f>(Inputs!$B$3*'Market Share'!D12*Inputs!$B$7)+(Inputs!$B$3*(1-'Market Share'!D12)*Inputs!$B$8)</f>
        <v>2401900000</v>
      </c>
    </row>
    <row r="13" spans="1:6">
      <c r="A13" s="12">
        <v>12</v>
      </c>
      <c r="B13" s="12">
        <f>Inputs!$B$3*'Market Share'!B13</f>
        <v>81000</v>
      </c>
      <c r="C13" s="12">
        <f>Inputs!$B$3*(1-'Market Share'!B13)</f>
        <v>18999.999999999996</v>
      </c>
      <c r="D13" s="13">
        <f>(B13*Inputs!$B$7)+(C13*Inputs!$B$8)</f>
        <v>2392000000</v>
      </c>
      <c r="E13" s="13">
        <f>(Inputs!$B$3*'Market Share'!C13*Inputs!$B$7)+(Inputs!$B$3*(1-'Market Share'!C13)*Inputs!$B$8)</f>
        <v>2385950000</v>
      </c>
      <c r="F13" s="13">
        <f>(Inputs!$B$3*'Market Share'!D13*Inputs!$B$7)+(Inputs!$B$3*(1-'Market Share'!D13)*Inputs!$B$8)</f>
        <v>2404100000</v>
      </c>
    </row>
    <row r="14" spans="1:6">
      <c r="A14" s="12"/>
      <c r="B14" s="12"/>
      <c r="C14" s="12"/>
      <c r="D14" s="13"/>
      <c r="E14" s="13"/>
      <c r="F14" s="13"/>
    </row>
    <row r="15" spans="1:6">
      <c r="A15" s="11" t="s">
        <v>18</v>
      </c>
      <c r="B15" s="11"/>
      <c r="C15" s="11"/>
      <c r="D15" s="14">
        <f>SUM(D2:D13)</f>
        <v>28631400000</v>
      </c>
      <c r="E15" s="14">
        <f>SUM(E2:E13)</f>
        <v>28595100000</v>
      </c>
      <c r="F15" s="14">
        <f>SUM(F2:F13)</f>
        <v>28704000000</v>
      </c>
    </row>
    <row r="16" spans="1:6">
      <c r="A16" s="11" t="s">
        <v>19</v>
      </c>
      <c r="B16" s="11"/>
      <c r="C16" s="11"/>
      <c r="D16" s="14">
        <f>D15/(Inputs!$B$3*12)</f>
        <v>23859.5</v>
      </c>
      <c r="E16" s="14">
        <f>E15/(Inputs!$B$3*12)</f>
        <v>23829.25</v>
      </c>
      <c r="F16" s="14">
        <f>F15/(Inputs!$B$3*12)</f>
        <v>23920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F62F-307B-4389-8054-A64EBB4F932A}">
  <dimension ref="A1:D8"/>
  <sheetViews>
    <sheetView tabSelected="1" workbookViewId="0">
      <selection activeCell="D8" sqref="A4:D8"/>
    </sheetView>
  </sheetViews>
  <sheetFormatPr defaultRowHeight="15"/>
  <cols>
    <col min="1" max="1" width="25.7109375" customWidth="1"/>
    <col min="2" max="4" width="25.7109375" style="5" customWidth="1"/>
  </cols>
  <sheetData>
    <row r="1" spans="1:4" s="1" customFormat="1">
      <c r="A1" s="1" t="s">
        <v>20</v>
      </c>
      <c r="B1" s="6"/>
      <c r="C1" s="6"/>
      <c r="D1" s="6"/>
    </row>
    <row r="2" spans="1:4" s="1" customFormat="1">
      <c r="B2" s="6"/>
      <c r="C2" s="6"/>
      <c r="D2" s="6"/>
    </row>
    <row r="3" spans="1:4" s="8" customFormat="1">
      <c r="A3" s="3" t="s">
        <v>21</v>
      </c>
      <c r="B3" s="7" t="s">
        <v>22</v>
      </c>
      <c r="C3" s="7" t="s">
        <v>18</v>
      </c>
      <c r="D3" s="7" t="s">
        <v>23</v>
      </c>
    </row>
    <row r="4" spans="1:4">
      <c r="A4" s="12" t="s">
        <v>24</v>
      </c>
      <c r="B4" s="13">
        <f>Inputs!$B$7</f>
        <v>24129</v>
      </c>
      <c r="C4" s="13">
        <f>(Inputs!$B$3*'Market Share'!$B$13*B4)+(Inputs!$B$3*(1-'Market Share'!$B$13)*Inputs!$B$8)</f>
        <v>2392000000</v>
      </c>
      <c r="D4" s="13">
        <v>0</v>
      </c>
    </row>
    <row r="5" spans="1:4">
      <c r="A5" s="12" t="s">
        <v>25</v>
      </c>
      <c r="B5" s="13">
        <f>Inputs!$B$7*0.9</f>
        <v>21716.100000000002</v>
      </c>
      <c r="C5" s="13">
        <f>(Inputs!$B$3*'Market Share'!$B$13*B5)+(Inputs!$B$3*(1-'Market Share'!$B$13)*Inputs!$B$8)</f>
        <v>2196555100</v>
      </c>
      <c r="D5" s="13">
        <f>C5-$C$4</f>
        <v>-195444900</v>
      </c>
    </row>
    <row r="6" spans="1:4">
      <c r="A6" s="12" t="s">
        <v>26</v>
      </c>
      <c r="B6" s="13">
        <f>Inputs!$B$7*0.95</f>
        <v>22922.55</v>
      </c>
      <c r="C6" s="13">
        <f>(Inputs!$B$3*'Market Share'!$B$13*B6)+(Inputs!$B$3*(1-'Market Share'!$B$13)*Inputs!$B$8)</f>
        <v>2294277550</v>
      </c>
      <c r="D6" s="13">
        <f>C6-$C$4</f>
        <v>-97722450</v>
      </c>
    </row>
    <row r="7" spans="1:4">
      <c r="A7" s="12" t="s">
        <v>27</v>
      </c>
      <c r="B7" s="13">
        <f>Inputs!$B$7*1.05</f>
        <v>25335.45</v>
      </c>
      <c r="C7" s="13">
        <f>(Inputs!$B$3*'Market Share'!$B$13*B7)+(Inputs!$B$3*(1-'Market Share'!$B$13)*Inputs!$B$8)</f>
        <v>2489722450</v>
      </c>
      <c r="D7" s="13">
        <f>C7-$C$4</f>
        <v>97722450</v>
      </c>
    </row>
    <row r="8" spans="1:4">
      <c r="A8" s="12" t="s">
        <v>28</v>
      </c>
      <c r="B8" s="13">
        <f>Inputs!$B$7*1.1</f>
        <v>26541.9</v>
      </c>
      <c r="C8" s="13">
        <f>(Inputs!$B$3*'Market Share'!$B$13*B8)+(Inputs!$B$3*(1-'Market Share'!$B$13)*Inputs!$B$8)</f>
        <v>2587444900</v>
      </c>
      <c r="D8" s="13">
        <f>C8-$C$4</f>
        <v>195444900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Rian Singh</cp:lastModifiedBy>
  <cp:revision/>
  <dcterms:created xsi:type="dcterms:W3CDTF">2026-07-16T20:50:50Z</dcterms:created>
  <dcterms:modified xsi:type="dcterms:W3CDTF">2026-07-17T23:41:21Z</dcterms:modified>
  <cp:category/>
  <cp:contentStatus/>
</cp:coreProperties>
</file>